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bcef57962ba4179" /></Relationships>
</file>

<file path=xl/workbook.xml><?xml version="1.0" encoding="utf-8"?>
<workbook xmlns="http://schemas.openxmlformats.org/spreadsheetml/2006/main">
  <sheets>
    <sheet xmlns:r="http://schemas.openxmlformats.org/officeDocument/2006/relationships" name="Existencias septiembre 2026" sheetId="1" r:id="R73b3323370804fd1"/>
  </sheets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>
  <numFmts count="2">
    <numFmt numFmtId="200" formatCode="#,##0;(#,##0);0"/>
    <numFmt numFmtId="201" formatCode="dd/mm/yyyy"/>
  </numFmts>
  <fonts count="4">
    <font>
      <sz val="11"/>
      <name val="Carlito"/>
    </font>
    <font>
      <sz val="10"/>
      <color rgb="FF1F2937"/>
      <name val="Arial"/>
    </font>
    <font>
      <b/>
      <sz val="10"/>
      <color rgb="FFFFFFFF"/>
      <name val="Arial"/>
    </font>
    <font>
      <b/>
      <sz val="10"/>
      <color rgb="FF17324D"/>
      <name val="Arial"/>
    </font>
  </fonts>
  <fills count="4">
    <fill>
      <patternFill patternType="none"/>
    </fill>
    <fill>
      <patternFill patternType="gray125"/>
    </fill>
    <fill>
      <patternFill patternType="solid">
        <fgColor rgb="FF17324D"/>
      </patternFill>
    </fill>
    <fill>
      <patternFill patternType="solid">
        <fgColor rgb="FFE9EFF5"/>
      </patternFill>
    </fill>
  </fills>
  <borders count="2">
    <border/>
    <border>
      <top style="thin">
        <color rgb="FF93A4B6"/>
      </top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NumberFormat="1" applyFont="1" applyFill="1" applyBorder="1"/>
    <xf numFmtId="0" fontId="1" fillId="0" borderId="0" xfId="0" applyNumberFormat="1" applyFont="1" applyFill="1" applyBorder="1" applyAlignment="1">
      <alignment vertical="center"/>
    </xf>
    <xf numFmtId="0" fontId="1" fillId="2" borderId="0" xfId="0" applyNumberFormat="1" applyFont="1" applyFill="1" applyBorder="1" applyAlignment="1">
      <alignment vertical="center"/>
    </xf>
    <xf numFmtId="0" fontId="2" fillId="2" borderId="0" xfId="0" applyNumberFormat="1" applyFont="1" applyFill="1" applyBorder="1" applyAlignment="1">
      <alignment vertical="center"/>
    </xf>
    <xf numFmtId="0" fontId="2" fillId="2" borderId="0" xfId="0" applyNumberFormat="1" applyFont="1" applyFill="1" applyBorder="1" applyAlignment="1">
      <alignment vertical="center" wrapText="1"/>
    </xf>
    <xf numFmtId="0" fontId="2" fillId="2" borderId="0" xfId="0" applyNumberFormat="1" applyFont="1" applyFill="1" applyBorder="1" applyAlignment="1">
      <alignment horizontal="center" vertical="center" wrapText="1"/>
    </xf>
    <xf numFmtId="0" fontId="1" fillId="3" borderId="0" xfId="0" applyNumberFormat="1" applyFont="1" applyFill="1" applyBorder="1" applyAlignment="1">
      <alignment vertical="center"/>
    </xf>
    <xf numFmtId="0" fontId="3" fillId="3" borderId="0" xfId="0" applyNumberFormat="1" applyFont="1" applyFill="1" applyBorder="1" applyAlignment="1">
      <alignment vertical="center"/>
    </xf>
    <xf numFmtId="0" fontId="3" fillId="3" borderId="1" xfId="0" applyNumberFormat="1" applyFont="1" applyFill="1" applyBorder="1" applyAlignment="1">
      <alignment vertical="center"/>
    </xf>
    <xf numFmtId="200" fontId="1" fillId="0" borderId="0" xfId="0" applyNumberFormat="1" applyFont="1" applyFill="1" applyBorder="1" applyAlignment="1">
      <alignment vertical="center"/>
    </xf>
    <xf numFmtId="200" fontId="3" fillId="3" borderId="1" xfId="0" applyNumberFormat="1" applyFont="1" applyFill="1" applyBorder="1" applyAlignment="1">
      <alignment vertical="center"/>
    </xf>
    <xf numFmtId="200" fontId="1" fillId="0" borderId="0" xfId="0" applyNumberFormat="1" applyFont="1" applyFill="1" applyBorder="1" applyAlignment="1">
      <alignment horizontal="right" vertical="center"/>
    </xf>
    <xf numFmtId="200" fontId="3" fillId="3" borderId="1" xfId="0" applyNumberFormat="1" applyFont="1" applyFill="1" applyBorder="1" applyAlignment="1">
      <alignment horizontal="right" vertical="center"/>
    </xf>
    <xf numFmtId="201" fontId="1" fillId="0" borderId="0" xfId="0" applyNumberFormat="1" applyFont="1" applyFill="1" applyBorder="1" applyAlignment="1">
      <alignment vertical="center"/>
    </xf>
  </cellXfs>
  <cellStyles count="1">
    <cellStyle name="Normal" xfId="0"/>
  </cellStyle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79fef36d07e94982" /><Relationship Type="http://schemas.openxmlformats.org/officeDocument/2006/relationships/theme" Target="theme/theme1.xml" Id="Rffe59662b84f4493" /><Relationship Type="http://schemas.openxmlformats.org/officeDocument/2006/relationships/sharedStrings" Target="sharedStrings.xml" Id="R8e54622106e04239" /><Relationship Type="http://schemas.openxmlformats.org/officeDocument/2006/relationships/worksheet" Target="worksheets/sheet1.xml" Id="R73b3323370804fd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tabColor rgb="FF17324D"/>
  </sheetPr>
  <sheetViews>
    <sheetView showGridLines="0" workbookViewId="0">
      <pane xSplit="2" ySplit="1" topLeftCell="C2" activePane="bottomRight" state="frozen"/>
    </sheetView>
  </sheetViews>
  <sheetFormatPr defaultRowHeight="15"/>
  <cols>
    <col min="1" max="1" width="26" hidden="0" customWidth="1"/>
    <col min="2" max="2" width="22" hidden="0" customWidth="1"/>
    <col min="3" max="3" width="36" hidden="0" customWidth="1"/>
    <col min="4" max="4" width="21" hidden="0" customWidth="1"/>
    <col min="5" max="5" width="23" hidden="0" customWidth="1"/>
    <col min="6" max="6" width="25" hidden="0" customWidth="1"/>
    <col min="7" max="7" width="17" hidden="0" customWidth="1"/>
    <col min="8" max="8" width="23" hidden="0" customWidth="1"/>
    <col min="9" max="9" width="18" hidden="0" customWidth="1"/>
  </cols>
  <sheetData>
    <row r="1" ht="40" customHeight="1">
      <c r="A1" s="6" t="str">
        <v>Familia de inventario</v>
      </c>
      <c r="B1" s="6" t="str">
        <v>Identificador de material</v>
      </c>
      <c r="C1" s="6" t="str">
        <v>Nombre del material</v>
      </c>
      <c r="D1" s="6" t="str">
        <v>Unidades disponibles al corte</v>
      </c>
      <c r="E1" s="6" t="str">
        <v>Costo por pieza (COP)</v>
      </c>
      <c r="F1" s="6" t="str">
        <v>Importe de existencias (COP)</v>
      </c>
      <c r="G1" s="6" t="str">
        <v>Centro logístico</v>
      </c>
      <c r="H1" s="6" t="str">
        <v>Condición del material</v>
      </c>
      <c r="I1" s="6" t="str">
        <v>Fecha de corte</v>
      </c>
    </row>
    <row r="2" ht="24" customHeight="1">
      <c r="A2" s="2" t="str">
        <v>Materias primas</v>
      </c>
      <c r="B2" s="2" t="str">
        <v>MP-001</v>
      </c>
      <c r="C2" s="2" t="str">
        <v>Lámina de acero de prueba</v>
      </c>
      <c r="D2" s="12" t="n">
        <v>120</v>
      </c>
      <c r="E2" s="12" t="n">
        <v>2500</v>
      </c>
      <c r="F2" s="12" t="n">
        <f>D2*E2</f>
        <v>300000</v>
      </c>
      <c r="G2" s="2" t="str">
        <v>P01</v>
      </c>
      <c r="H2" s="2" t="str">
        <v>Disponible</v>
      </c>
      <c r="I2" s="14" t="n">
        <v>46295</v>
      </c>
    </row>
    <row r="3" ht="24" customHeight="1">
      <c r="A3" s="2" t="str">
        <v>Materias primas</v>
      </c>
      <c r="B3" s="2" t="str">
        <v>MP-002</v>
      </c>
      <c r="C3" s="2" t="str">
        <v>Resina sintética de prueba</v>
      </c>
      <c r="D3" s="12" t="n">
        <v>80</v>
      </c>
      <c r="E3" s="12" t="n">
        <v>4800</v>
      </c>
      <c r="F3" s="12" t="n">
        <f>D3*E3</f>
        <v>384000</v>
      </c>
      <c r="G3" s="2" t="str">
        <v>P01</v>
      </c>
      <c r="H3" s="2" t="str">
        <v>Disponible</v>
      </c>
      <c r="I3" s="14" t="n">
        <v>46295</v>
      </c>
    </row>
    <row r="4" ht="24" customHeight="1">
      <c r="A4" s="2" t="str">
        <v>Materias primas</v>
      </c>
      <c r="B4" s="2" t="str">
        <v>MP-003</v>
      </c>
      <c r="C4" s="2" t="str">
        <v>Tela industrial de prueba</v>
      </c>
      <c r="D4" s="12" t="n">
        <v>50</v>
      </c>
      <c r="E4" s="12" t="n">
        <v>12500</v>
      </c>
      <c r="F4" s="12" t="n">
        <f>D4*E4</f>
        <v>625000</v>
      </c>
      <c r="G4" s="2" t="str">
        <v>P01</v>
      </c>
      <c r="H4" s="2" t="str">
        <v>Disponible</v>
      </c>
      <c r="I4" s="14" t="n">
        <v>46295</v>
      </c>
    </row>
    <row r="5" ht="24" customHeight="1">
      <c r="A5" s="2" t="str">
        <v>Materias primas</v>
      </c>
      <c r="B5" s="2" t="str">
        <v>MP-004</v>
      </c>
      <c r="C5" s="2" t="str">
        <v>Tornillo galvanizado de prueba</v>
      </c>
      <c r="D5" s="12" t="n">
        <v>200</v>
      </c>
      <c r="E5" s="12" t="n">
        <v>850</v>
      </c>
      <c r="F5" s="12" t="n">
        <f>D5*E5</f>
        <v>170000</v>
      </c>
      <c r="G5" s="2" t="str">
        <v>P01</v>
      </c>
      <c r="H5" s="2" t="str">
        <v>Disponible</v>
      </c>
      <c r="I5" s="14" t="n">
        <v>46295</v>
      </c>
    </row>
    <row r="6" ht="24" customHeight="1">
      <c r="A6" s="2" t="str">
        <v>Materias primas</v>
      </c>
      <c r="B6" s="2" t="str">
        <v>MP-005</v>
      </c>
      <c r="C6" s="2" t="str">
        <v>Pintura base agua de prueba</v>
      </c>
      <c r="D6" s="12" t="n">
        <v>75</v>
      </c>
      <c r="E6" s="12" t="n">
        <v>6200</v>
      </c>
      <c r="F6" s="12" t="n">
        <f>D6*E6</f>
        <v>465000</v>
      </c>
      <c r="G6" s="2" t="str">
        <v>P01</v>
      </c>
      <c r="H6" s="2" t="str">
        <v>Disponible</v>
      </c>
      <c r="I6" s="14" t="n">
        <v>46295</v>
      </c>
    </row>
    <row r="7" ht="24" customHeight="1">
      <c r="A7" s="2" t="str">
        <v>Materias primas</v>
      </c>
      <c r="B7" s="2" t="str">
        <v>MP-006</v>
      </c>
      <c r="C7" s="2" t="str">
        <v>Cable de cobre de prueba</v>
      </c>
      <c r="D7" s="12" t="n">
        <v>40</v>
      </c>
      <c r="E7" s="12" t="n">
        <v>18900</v>
      </c>
      <c r="F7" s="12" t="n">
        <f>D7*E7</f>
        <v>756000</v>
      </c>
      <c r="G7" s="2" t="str">
        <v>P01</v>
      </c>
      <c r="H7" s="2" t="str">
        <v>Disponible</v>
      </c>
      <c r="I7" s="14" t="n">
        <v>46295</v>
      </c>
    </row>
    <row r="8" ht="24" customHeight="1">
      <c r="A8" s="2" t="str">
        <v>Productos en proceso</v>
      </c>
      <c r="B8" s="2" t="str">
        <v>PP-001</v>
      </c>
      <c r="C8" s="2" t="str">
        <v>Ensamble de soporte de prueba</v>
      </c>
      <c r="D8" s="12" t="n">
        <v>35</v>
      </c>
      <c r="E8" s="12" t="n">
        <v>32000</v>
      </c>
      <c r="F8" s="12" t="n">
        <f>D8*E8</f>
        <v>1120000</v>
      </c>
      <c r="G8" s="2" t="str">
        <v>P02</v>
      </c>
      <c r="H8" s="2" t="str">
        <v>Disponible</v>
      </c>
      <c r="I8" s="14" t="n">
        <v>46295</v>
      </c>
    </row>
    <row r="9" ht="24" customHeight="1">
      <c r="A9" s="2" t="str">
        <v>Productos en proceso</v>
      </c>
      <c r="B9" s="2" t="str">
        <v>PP-002</v>
      </c>
      <c r="C9" s="2" t="str">
        <v>Panel sin acabado de prueba</v>
      </c>
      <c r="D9" s="12" t="n">
        <v>45</v>
      </c>
      <c r="E9" s="12" t="n">
        <v>18500</v>
      </c>
      <c r="F9" s="12" t="n">
        <f>D9*E9</f>
        <v>832500</v>
      </c>
      <c r="G9" s="2" t="str">
        <v>P02</v>
      </c>
      <c r="H9" s="2" t="str">
        <v>Disponible</v>
      </c>
      <c r="I9" s="14" t="n">
        <v>46295</v>
      </c>
    </row>
    <row r="10" ht="24" customHeight="1">
      <c r="A10" s="2" t="str">
        <v>Productos en proceso</v>
      </c>
      <c r="B10" s="2" t="str">
        <v>PP-003</v>
      </c>
      <c r="C10" s="2" t="str">
        <v>Módulo en montaje de prueba</v>
      </c>
      <c r="D10" s="12" t="n">
        <v>20</v>
      </c>
      <c r="E10" s="12" t="n">
        <v>47500</v>
      </c>
      <c r="F10" s="12" t="n">
        <f>D10*E10</f>
        <v>950000</v>
      </c>
      <c r="G10" s="2" t="str">
        <v>P02</v>
      </c>
      <c r="H10" s="2" t="str">
        <v>Disponible</v>
      </c>
      <c r="I10" s="14" t="n">
        <v>46295</v>
      </c>
    </row>
    <row r="11" ht="24" customHeight="1">
      <c r="A11" s="2" t="str">
        <v>Productos en proceso</v>
      </c>
      <c r="B11" s="2" t="str">
        <v>PP-004</v>
      </c>
      <c r="C11" s="2" t="str">
        <v>Pieza mecanizada de prueba</v>
      </c>
      <c r="D11" s="12" t="n">
        <v>60</v>
      </c>
      <c r="E11" s="12" t="n">
        <v>12000</v>
      </c>
      <c r="F11" s="12" t="n">
        <f>D11*E11</f>
        <v>720000</v>
      </c>
      <c r="G11" s="2" t="str">
        <v>P02</v>
      </c>
      <c r="H11" s="2" t="str">
        <v>Disponible</v>
      </c>
      <c r="I11" s="14" t="n">
        <v>46295</v>
      </c>
    </row>
    <row r="12" ht="24" customHeight="1">
      <c r="A12" s="2" t="str">
        <v>Productos en proceso</v>
      </c>
      <c r="B12" s="2" t="str">
        <v>PP-005</v>
      </c>
      <c r="C12" s="2" t="str">
        <v>Carcasa en pintura de prueba</v>
      </c>
      <c r="D12" s="12" t="n">
        <v>25</v>
      </c>
      <c r="E12" s="12" t="n">
        <v>28000</v>
      </c>
      <c r="F12" s="12" t="n">
        <f>D12*E12</f>
        <v>700000</v>
      </c>
      <c r="G12" s="2" t="str">
        <v>P02</v>
      </c>
      <c r="H12" s="2" t="str">
        <v>Disponible</v>
      </c>
      <c r="I12" s="14" t="n">
        <v>46295</v>
      </c>
    </row>
    <row r="13" ht="24" customHeight="1">
      <c r="A13" s="2" t="str">
        <v>Productos en proceso</v>
      </c>
      <c r="B13" s="2" t="str">
        <v>PP-006</v>
      </c>
      <c r="C13" s="2" t="str">
        <v>Conjunto de control de prueba</v>
      </c>
      <c r="D13" s="12" t="n">
        <v>15</v>
      </c>
      <c r="E13" s="12" t="n">
        <v>55000</v>
      </c>
      <c r="F13" s="12" t="n">
        <f>D13*E13</f>
        <v>825000</v>
      </c>
      <c r="G13" s="2" t="str">
        <v>P02</v>
      </c>
      <c r="H13" s="2" t="str">
        <v>Disponible</v>
      </c>
      <c r="I13" s="14" t="n">
        <v>46295</v>
      </c>
    </row>
    <row r="14" ht="24" customHeight="1">
      <c r="A14" s="2" t="str">
        <v>Productos terminados</v>
      </c>
      <c r="B14" s="2" t="str">
        <v>PT-001</v>
      </c>
      <c r="C14" s="2" t="str">
        <v>Soporte modelo A de prueba</v>
      </c>
      <c r="D14" s="12" t="n">
        <v>24</v>
      </c>
      <c r="E14" s="12" t="n">
        <v>82000</v>
      </c>
      <c r="F14" s="12" t="n">
        <f>D14*E14</f>
        <v>1968000</v>
      </c>
      <c r="G14" s="2" t="str">
        <v>P03</v>
      </c>
      <c r="H14" s="2" t="str">
        <v>Disponible</v>
      </c>
      <c r="I14" s="14" t="n">
        <v>46295</v>
      </c>
    </row>
    <row r="15" ht="24" customHeight="1">
      <c r="A15" s="2" t="str">
        <v>Productos terminados</v>
      </c>
      <c r="B15" s="2" t="str">
        <v>PT-002</v>
      </c>
      <c r="C15" s="2" t="str">
        <v>Panel modelo B de prueba</v>
      </c>
      <c r="D15" s="12" t="n">
        <v>16</v>
      </c>
      <c r="E15" s="12" t="n">
        <v>125000</v>
      </c>
      <c r="F15" s="12" t="n">
        <f>D15*E15</f>
        <v>2000000</v>
      </c>
      <c r="G15" s="2" t="str">
        <v>P03</v>
      </c>
      <c r="H15" s="2" t="str">
        <v>Disponible</v>
      </c>
      <c r="I15" s="14" t="n">
        <v>46295</v>
      </c>
    </row>
    <row r="16" ht="24" customHeight="1">
      <c r="A16" s="2" t="str">
        <v>Productos terminados</v>
      </c>
      <c r="B16" s="2" t="str">
        <v>PT-003</v>
      </c>
      <c r="C16" s="2" t="str">
        <v>Módulo modelo C de prueba</v>
      </c>
      <c r="D16" s="12" t="n">
        <v>30</v>
      </c>
      <c r="E16" s="12" t="n">
        <v>56500</v>
      </c>
      <c r="F16" s="12" t="n">
        <f>D16*E16</f>
        <v>1695000</v>
      </c>
      <c r="G16" s="2" t="str">
        <v>P03</v>
      </c>
      <c r="H16" s="2" t="str">
        <v>Disponible</v>
      </c>
      <c r="I16" s="14" t="n">
        <v>46295</v>
      </c>
    </row>
    <row r="17" ht="24" customHeight="1">
      <c r="A17" s="2" t="str">
        <v>Productos terminados</v>
      </c>
      <c r="B17" s="2" t="str">
        <v>PT-004</v>
      </c>
      <c r="C17" s="2" t="str">
        <v>Equipo modelo D de prueba</v>
      </c>
      <c r="D17" s="12" t="n">
        <v>12</v>
      </c>
      <c r="E17" s="12" t="n">
        <v>149000</v>
      </c>
      <c r="F17" s="12" t="n">
        <f>D17*E17</f>
        <v>1788000</v>
      </c>
      <c r="G17" s="2" t="str">
        <v>P03</v>
      </c>
      <c r="H17" s="2" t="str">
        <v>Disponible</v>
      </c>
      <c r="I17" s="14" t="n">
        <v>46295</v>
      </c>
    </row>
    <row r="18" ht="24" customHeight="1">
      <c r="A18" s="2" t="str">
        <v>Productos terminados</v>
      </c>
      <c r="B18" s="2" t="str">
        <v>PT-005</v>
      </c>
      <c r="C18" s="2" t="str">
        <v>Gabinete modelo E de prueba</v>
      </c>
      <c r="D18" s="12" t="n">
        <v>18</v>
      </c>
      <c r="E18" s="12" t="n">
        <v>94000</v>
      </c>
      <c r="F18" s="12" t="n">
        <f>D18*E18</f>
        <v>1692000</v>
      </c>
      <c r="G18" s="2" t="str">
        <v>P03</v>
      </c>
      <c r="H18" s="2" t="str">
        <v>Disponible</v>
      </c>
      <c r="I18" s="14" t="n">
        <v>46295</v>
      </c>
    </row>
    <row r="19" ht="24" customHeight="1">
      <c r="A19" s="2" t="str">
        <v>Productos terminados</v>
      </c>
      <c r="B19" s="2" t="str">
        <v>PT-006</v>
      </c>
      <c r="C19" s="2" t="str">
        <v>Sistema modelo F de prueba</v>
      </c>
      <c r="D19" s="12" t="n">
        <v>10</v>
      </c>
      <c r="E19" s="12" t="n">
        <v>215000</v>
      </c>
      <c r="F19" s="12" t="n">
        <f>D19*E19</f>
        <v>2150000</v>
      </c>
      <c r="G19" s="2" t="str">
        <v>P03</v>
      </c>
      <c r="H19" s="2" t="str">
        <v>Disponible</v>
      </c>
      <c r="I19" s="14" t="n">
        <v>46295</v>
      </c>
    </row>
    <row r="20" ht="27" customHeight="1">
      <c r="A20" s="9" t="str">
        <v>TOTAL GENERAL</v>
      </c>
      <c r="B20" s="9"/>
      <c r="C20" s="9"/>
      <c r="D20" s="13" t="n">
        <f>SUM(D2:D19)</f>
        <v>875</v>
      </c>
      <c r="E20" s="13"/>
      <c r="F20" s="13" t="n">
        <f>SUM(F2:F19)</f>
        <v>19140500</v>
      </c>
      <c r="G20" s="9"/>
      <c r="H20" s="9"/>
      <c r="I20" s="9"/>
    </row>
  </sheetData>
  <pageMargins left="0.7" right="0.7" top="0.75" bottom="0.75" header="0.3" footer="0.3"/>
</worksheet>
</file>